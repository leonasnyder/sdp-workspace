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F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<sst xmlns="http://schemas.openxmlformats.org/spreadsheetml/2006/main" count="56" uniqueCount="56">
  <si>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Independent Facilitator — Hours &amp; Budget Calculator</t>
  </si>
  <si>
    <t xml:space="preserve">Blue cells are inputs — change them. Black cells calculate automatically.</t>
  </si>
  <si>
    <t xml:space="preserve">PHASE 1 — PRE-ENROLLMENT (paid by regional center, outside the individual budget)</t>
  </si>
  <si>
    <t xml:space="preserve">Item</t>
  </si>
  <si>
    <t xml:space="preserve">Hours</t>
  </si>
  <si>
    <t xml:space="preserve">Rate $/hr</t>
  </si>
  <si>
    <t xml:space="preserve">Cost</t>
  </si>
  <si>
    <t xml:space="preserve">Cap / rule</t>
  </si>
  <si>
    <t xml:space="preserve">Notes</t>
  </si>
  <si>
    <t xml:space="preserve">Initial Person-Centered Plan (code 024 or vendored)</t>
  </si>
  <si>
    <t xml:space="preserve">Paid up to $1,000</t>
  </si>
  <si>
    <t xml:space="preserve">RC may pay more case-by-case (limited natural supports, language, higher needs)</t>
  </si>
  <si>
    <t xml:space="preserve">General Self-Directed Supports (code 099 / 099-PDS)</t>
  </si>
  <si>
    <t xml:space="preserve">Max 40 hrs unless exception</t>
  </si>
  <si>
    <t xml:space="preserve">Rate is set by DDS — confirm current rate schedule with the RC/FMS</t>
  </si>
  <si>
    <t xml:space="preserve">Phase 1 checks</t>
  </si>
  <si>
    <t xml:space="preserve">PHASE 2 — ONGOING FACILITATION (paid from individual budget, service code 340)</t>
  </si>
  <si>
    <t xml:space="preserve">Tier picker (1=Essentials, 2=Standard, 3=Comprehensive)</t>
  </si>
  <si>
    <t xml:space="preserve">Component</t>
  </si>
  <si>
    <t xml:space="preserve">Qty</t>
  </si>
  <si>
    <t xml:space="preserve">Hrs each</t>
  </si>
  <si>
    <t xml:space="preserve">Hours/yr</t>
  </si>
  <si>
    <t xml:space="preserve">Guidance</t>
  </si>
  <si>
    <t xml:space="preserve">Monthly base: statement reconciliation + client update</t>
  </si>
  <si>
    <t xml:space="preserve">Tier defaults: 1.5 / 2.5 / 4.5 hrs per month — override C13 if needed</t>
  </si>
  <si>
    <t xml:space="preserve">Quarterly planning check-ins</t>
  </si>
  <si>
    <t xml:space="preserve">Tiers 2–3 only by default</t>
  </si>
  <si>
    <t xml:space="preserve">Annual IPP / renewal preparation</t>
  </si>
  <si>
    <t xml:space="preserve">4–8 hrs typical</t>
  </si>
  <si>
    <t xml:space="preserve">Spending plan revisions</t>
  </si>
  <si>
    <t xml:space="preserve">2 hrs per revision; enter expected revisions/yr</t>
  </si>
  <si>
    <t xml:space="preserve">Team coordination meetings (Tier 3)</t>
  </si>
  <si>
    <t xml:space="preserve">First-year startup (one-time — set Qty to 0 after year 1)</t>
  </si>
  <si>
    <t xml:space="preserve">6–10 hrs: FMS onboarding, vendor setup</t>
  </si>
  <si>
    <t xml:space="preserve">Subtotal hours</t>
  </si>
  <si>
    <t xml:space="preserve">Complexity factor</t>
  </si>
  <si>
    <t xml:space="preserve">1.0 typical · 1.25 limited natural supports or language other than English · 1.5 high support needs</t>
  </si>
  <si>
    <t xml:space="preserve">TOTAL ANNUAL HOURS</t>
  </si>
  <si>
    <t xml:space="preserve">Hourly rate (your Phase 2 rate)</t>
  </si>
  <si>
    <t xml:space="preserve">ANNUAL BUDGET FOR SPENDING PLAN LINE 340</t>
  </si>
  <si>
    <t xml:space="preserve">Suggested monthly distribution</t>
  </si>
  <si>
    <t xml:space="preserve">As % of a sample individual budget of:</t>
  </si>
  <si>
    <t xml:space="preserve">Sanity check — IF cost is commonly a low single-digit % of the budget</t>
  </si>
  <si>
    <t xml:space="preserve">TIER QUICK REFERENCE (calculated at your rate in B22)</t>
  </si>
  <si>
    <t xml:space="preserve">Tier</t>
  </si>
  <si>
    <t xml:space="preserve">Est. hrs/yr</t>
  </si>
  <si>
    <t xml:space="preserve">Annual $</t>
  </si>
  <si>
    <t xml:space="preserve">Monthly $</t>
  </si>
  <si>
    <t xml:space="preserve">Included</t>
  </si>
  <si>
    <t xml:space="preserve">A — Essentials</t>
  </si>
  <si>
    <t xml:space="preserve">Monthly monitoring + update, annual renewal prep</t>
  </si>
  <si>
    <t xml:space="preserve">B — Standard</t>
  </si>
  <si>
    <t xml:space="preserve">A + quarterly check-ins + 2 revisions/yr</t>
  </si>
  <si>
    <t xml:space="preserve">C — Comprehensive</t>
  </si>
  <si>
    <t xml:space="preserve">B + monthly team coordination, hiring support</t>
  </si>
  <si>
    <t xml:space="preserve">Sources: WIC §4685.8(c)(2); DDS guidance July 2, 2024 (Initial PCP &amp; Pre-Enrollment Transition Supports); DDS directive D-2026-SDP-002 (orientation).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</si>
</sst>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\$#,##0.00;&quot;($&quot;#,##0.00\);\-"/>
    <numFmt numFmtId="167" formatCode="0.0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5FA8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5FA8"/>
        <bgColor rgb="FF008080"/>
      </patternFill>
    </fill>
    <fill>
      <patternFill patternType="solid">
        <fgColor rgb="FFE8F1FB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1FB"/>
      <rgbColor rgb="FF660066"/>
      <rgbColor rgb="FFFF8080"/>
      <rgbColor rgb="FF1A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false" outlineLevel="0" collapsed="false">
      <c r="A6" s="6" t="s">
        <v>9</v>
      </c>
      <c r="B6" s="7" t="n">
        <v>10</v>
      </c>
      <c r="C6" s="8" t="n">
        <v>75</v>
      </c>
      <c r="D6" s="9" t="n">
        <f aca="false">B6*C6</f>
        <v>750</v>
      </c>
      <c r="E6" s="6" t="s">
        <v>10</v>
      </c>
      <c r="F6" s="6" t="s">
        <v>11</v>
      </c>
    </row>
    <row r="7" customFormat="false" ht="15" hidden="false" customHeight="false" outlineLevel="0" collapsed="false">
      <c r="A7" s="6" t="s">
        <v>12</v>
      </c>
      <c r="B7" s="7" t="n">
        <v>25</v>
      </c>
      <c r="C7" s="8" t="n">
        <v>75</v>
      </c>
      <c r="D7" s="9" t="n">
        <f aca="false">B7*C7</f>
        <v>1875</v>
      </c>
      <c r="E7" s="6" t="s">
        <v>13</v>
      </c>
      <c r="F7" s="6" t="s">
        <v>14</v>
      </c>
    </row>
    <row r="8" customFormat="false" ht="15" hidden="false" customHeight="false" outlineLevel="0" collapsed="false">
      <c r="A8" s="10" t="s">
        <v>15</v>
      </c>
      <c r="D8" s="11" t="n">
        <f aca="false">D6+D7</f>
        <v>2625</v>
      </c>
      <c r="E8" s="6" t="str">
        <f aca="false">IF(D6&gt;1000,"PCP over $1,000 — needs exception","PCP within cap")</f>
        <v>PCP within cap</v>
      </c>
      <c r="F8" s="6" t="str">
        <f aca="false">IF(B7&gt;40,"General SD hours over 40 — needs exception","Hours within cap")</f>
        <v>Hours within cap</v>
      </c>
    </row>
    <row r="10" customFormat="false" ht="15" hidden="false" customHeight="false" outlineLevel="0" collapsed="false">
      <c r="A10" s="3" t="s">
        <v>16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10" t="s">
        <v>17</v>
      </c>
      <c r="B11" s="12" t="n">
        <v>2</v>
      </c>
      <c r="C11" s="6" t="str">
        <f aca="false">CHOOSE(B11,"Essentials","Standard","Comprehensive")</f>
        <v>Standard</v>
      </c>
    </row>
    <row r="12" customFormat="false" ht="15" hidden="false" customHeight="false" outlineLevel="0" collapsed="false">
      <c r="A12" s="5" t="s">
        <v>18</v>
      </c>
      <c r="B12" s="5" t="s">
        <v>19</v>
      </c>
      <c r="C12" s="5" t="s">
        <v>20</v>
      </c>
      <c r="D12" s="5" t="s">
        <v>21</v>
      </c>
      <c r="E12" s="13"/>
      <c r="F12" s="5" t="s">
        <v>22</v>
      </c>
    </row>
    <row r="13" customFormat="false" ht="15" hidden="false" customHeight="false" outlineLevel="0" collapsed="false">
      <c r="A13" s="6" t="s">
        <v>23</v>
      </c>
      <c r="B13" s="6" t="n">
        <v>12</v>
      </c>
      <c r="C13" s="14" t="n">
        <f aca="false">CHOOSE($B$11,1.5,2.5,4.5)</f>
        <v>2.5</v>
      </c>
      <c r="D13" s="14" t="n">
        <f aca="false">B13*C13</f>
        <v>30</v>
      </c>
      <c r="F13" s="6" t="s">
        <v>24</v>
      </c>
    </row>
    <row r="14" customFormat="false" ht="15" hidden="false" customHeight="false" outlineLevel="0" collapsed="false">
      <c r="A14" s="6" t="s">
        <v>25</v>
      </c>
      <c r="B14" s="6" t="n">
        <f aca="false">IF($B$11&gt;=2,4,0)</f>
        <v>4</v>
      </c>
      <c r="C14" s="7" t="n">
        <v>1.5</v>
      </c>
      <c r="D14" s="14" t="n">
        <f aca="false">B14*C14</f>
        <v>6</v>
      </c>
      <c r="F14" s="6" t="s">
        <v>26</v>
      </c>
    </row>
    <row r="15" customFormat="false" ht="15" hidden="false" customHeight="false" outlineLevel="0" collapsed="false">
      <c r="A15" s="6" t="s">
        <v>27</v>
      </c>
      <c r="B15" s="6" t="n">
        <v>1</v>
      </c>
      <c r="C15" s="7" t="n">
        <v>6</v>
      </c>
      <c r="D15" s="14" t="n">
        <f aca="false">B15*C15</f>
        <v>6</v>
      </c>
      <c r="F15" s="6" t="s">
        <v>28</v>
      </c>
    </row>
    <row r="16" customFormat="false" ht="15" hidden="false" customHeight="false" outlineLevel="0" collapsed="false">
      <c r="A16" s="6" t="s">
        <v>29</v>
      </c>
      <c r="B16" s="15" t="n">
        <v>2</v>
      </c>
      <c r="C16" s="7" t="n">
        <v>2</v>
      </c>
      <c r="D16" s="14" t="n">
        <f aca="false">B16*C16</f>
        <v>4</v>
      </c>
      <c r="F16" s="6" t="s">
        <v>30</v>
      </c>
    </row>
    <row r="17" customFormat="false" ht="15" hidden="false" customHeight="false" outlineLevel="0" collapsed="false">
      <c r="A17" s="6" t="s">
        <v>31</v>
      </c>
      <c r="B17" s="6" t="n">
        <f aca="false">IF($B$11=3,12,0)</f>
        <v>0</v>
      </c>
      <c r="C17" s="7" t="n">
        <v>1</v>
      </c>
      <c r="D17" s="14" t="n">
        <f aca="false">B17*C17</f>
        <v>0</v>
      </c>
    </row>
    <row r="18" customFormat="false" ht="15" hidden="false" customHeight="false" outlineLevel="0" collapsed="false">
      <c r="A18" s="6" t="s">
        <v>32</v>
      </c>
      <c r="B18" s="15" t="n">
        <v>1</v>
      </c>
      <c r="C18" s="7" t="n">
        <v>8</v>
      </c>
      <c r="D18" s="14" t="n">
        <f aca="false">B18*C18</f>
        <v>8</v>
      </c>
      <c r="F18" s="6" t="s">
        <v>33</v>
      </c>
    </row>
    <row r="19" customFormat="false" ht="15" hidden="false" customHeight="false" outlineLevel="0" collapsed="false">
      <c r="A19" s="10" t="s">
        <v>34</v>
      </c>
      <c r="D19" s="16" t="n">
        <f aca="false">SUM(D13:D18)</f>
        <v>54</v>
      </c>
    </row>
    <row r="20" customFormat="false" ht="15" hidden="false" customHeight="false" outlineLevel="0" collapsed="false">
      <c r="A20" s="6" t="s">
        <v>35</v>
      </c>
      <c r="B20" s="17" t="n">
        <v>1</v>
      </c>
      <c r="F20" s="6" t="s">
        <v>36</v>
      </c>
    </row>
    <row r="21" customFormat="false" ht="15" hidden="false" customHeight="false" outlineLevel="0" collapsed="false">
      <c r="A21" s="5" t="s">
        <v>37</v>
      </c>
      <c r="D21" s="18" t="n">
        <f aca="false">D19*B20</f>
        <v>54</v>
      </c>
    </row>
    <row r="22" customFormat="false" ht="15" hidden="false" customHeight="false" outlineLevel="0" collapsed="false">
      <c r="A22" s="6" t="s">
        <v>38</v>
      </c>
      <c r="B22" s="19" t="n">
        <v>75</v>
      </c>
    </row>
    <row r="23" customFormat="false" ht="15" hidden="false" customHeight="false" outlineLevel="0" collapsed="false">
      <c r="A23" s="5" t="s">
        <v>39</v>
      </c>
      <c r="D23" s="20" t="n">
        <f aca="false">D21*B22</f>
        <v>4050</v>
      </c>
    </row>
    <row r="24" customFormat="false" ht="15" hidden="false" customHeight="false" outlineLevel="0" collapsed="false">
      <c r="A24" s="6" t="s">
        <v>40</v>
      </c>
      <c r="D24" s="9" t="n">
        <f aca="false">D23/12</f>
        <v>337.5</v>
      </c>
    </row>
    <row r="25" customFormat="false" ht="15" hidden="false" customHeight="false" outlineLevel="0" collapsed="false">
      <c r="A25" s="6" t="s">
        <v>41</v>
      </c>
      <c r="B25" s="8" t="n">
        <v>100000</v>
      </c>
      <c r="D25" s="21" t="n">
        <f aca="false">IF(B25=0,0,D23/B25)</f>
        <v>0.0405</v>
      </c>
      <c r="F25" s="6" t="s">
        <v>42</v>
      </c>
    </row>
    <row r="27" customFormat="false" ht="15" hidden="false" customHeight="false" outlineLevel="0" collapsed="false">
      <c r="A27" s="3" t="s">
        <v>43</v>
      </c>
      <c r="B27" s="4"/>
      <c r="C27" s="4"/>
      <c r="D27" s="4"/>
      <c r="E27" s="4"/>
      <c r="F27" s="4"/>
    </row>
    <row r="28" customFormat="false" ht="15" hidden="false" customHeight="false" outlineLevel="0" collapsed="false">
      <c r="A28" s="5" t="s">
        <v>44</v>
      </c>
      <c r="B28" s="5" t="s">
        <v>45</v>
      </c>
      <c r="C28" s="5" t="s">
        <v>46</v>
      </c>
      <c r="D28" s="5" t="s">
        <v>47</v>
      </c>
      <c r="F28" s="5" t="s">
        <v>48</v>
      </c>
    </row>
    <row r="29" customFormat="false" ht="15" hidden="false" customHeight="false" outlineLevel="0" collapsed="false">
      <c r="A29" s="6" t="s">
        <v>49</v>
      </c>
      <c r="B29" s="14" t="n">
        <f aca="false">1.5*12+6</f>
        <v>24</v>
      </c>
      <c r="C29" s="9" t="n">
        <f aca="false">B29*$B$22</f>
        <v>1800</v>
      </c>
      <c r="D29" s="9" t="n">
        <f aca="false">C29/12</f>
        <v>150</v>
      </c>
      <c r="F29" s="6" t="s">
        <v>50</v>
      </c>
    </row>
    <row r="30" customFormat="false" ht="15" hidden="false" customHeight="false" outlineLevel="0" collapsed="false">
      <c r="A30" s="6" t="s">
        <v>51</v>
      </c>
      <c r="B30" s="14" t="n">
        <f aca="false">2.5*12+4*1.5+6+2*2</f>
        <v>46</v>
      </c>
      <c r="C30" s="9" t="n">
        <f aca="false">B30*$B$22</f>
        <v>3450</v>
      </c>
      <c r="D30" s="9" t="n">
        <f aca="false">C30/12</f>
        <v>287.5</v>
      </c>
      <c r="F30" s="6" t="s">
        <v>52</v>
      </c>
    </row>
    <row r="31" customFormat="false" ht="15" hidden="false" customHeight="false" outlineLevel="0" collapsed="false">
      <c r="A31" s="6" t="s">
        <v>53</v>
      </c>
      <c r="B31" s="14" t="n">
        <f aca="false">4.5*12+4*1.5+6+2*2+12*1</f>
        <v>82</v>
      </c>
      <c r="C31" s="9" t="n">
        <f aca="false">B31*$B$22</f>
        <v>6150</v>
      </c>
      <c r="D31" s="9" t="n">
        <f aca="false">C31/12</f>
        <v>512.5</v>
      </c>
      <c r="F31" s="6" t="s">
        <v>54</v>
      </c>
    </row>
    <row r="33" customFormat="false" ht="15" hidden="false" customHeight="false" outlineLevel="0" collapsed="false">
      <c r="A33" s="2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2026-07-02T01:59:53Z</dcterms:created>
  <dc:creator>openpyxl</dc:creator>
  <dc:description/>
  <dc:language>en-US</dc:language>
  <cp:lastModifiedBy/>
  <dcterms:modified xsi:type="dcterms:W3CDTF">2026-07-02T01:59:53Z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